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ee\Downloads\"/>
    </mc:Choice>
  </mc:AlternateContent>
  <xr:revisionPtr revIDLastSave="0" documentId="8_{7D365F7B-55BC-4C0D-885A-C50BB8798D6B}" xr6:coauthVersionLast="47" xr6:coauthVersionMax="47" xr10:uidLastSave="{00000000-0000-0000-0000-000000000000}"/>
  <bookViews>
    <workbookView xWindow="-120" yWindow="-120" windowWidth="20730" windowHeight="11160" activeTab="1" xr2:uid="{7115F279-CC30-4CEE-B809-D476D2F774D7}"/>
  </bookViews>
  <sheets>
    <sheet name="Premium Calculation" sheetId="3" r:id="rId1"/>
    <sheet name="Profitability Analysis" sheetId="1" r:id="rId2"/>
    <sheet name="Sensitivity Testin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3" l="1"/>
  <c r="L16" i="3"/>
  <c r="G19" i="3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J16" i="4"/>
  <c r="M16" i="4" s="1"/>
  <c r="O16" i="4" s="1"/>
  <c r="E16" i="4"/>
  <c r="D16" i="4"/>
  <c r="F16" i="4" s="1"/>
  <c r="C17" i="4" s="1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M15" i="3"/>
  <c r="O15" i="3" s="1"/>
  <c r="E15" i="3"/>
  <c r="D15" i="3"/>
  <c r="F15" i="3" s="1"/>
  <c r="C16" i="3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O27" i="1" s="1"/>
  <c r="M28" i="1"/>
  <c r="O28" i="1" s="1"/>
  <c r="N17" i="1"/>
  <c r="N18" i="1"/>
  <c r="N19" i="1"/>
  <c r="N20" i="1"/>
  <c r="N21" i="1"/>
  <c r="N22" i="1"/>
  <c r="N23" i="1"/>
  <c r="N24" i="1"/>
  <c r="N25" i="1"/>
  <c r="N26" i="1"/>
  <c r="N27" i="1"/>
  <c r="N28" i="1"/>
  <c r="L17" i="1"/>
  <c r="J16" i="1"/>
  <c r="M16" i="1" s="1"/>
  <c r="O16" i="1" s="1"/>
  <c r="I17" i="1"/>
  <c r="I18" i="1"/>
  <c r="I19" i="1"/>
  <c r="I20" i="1"/>
  <c r="I21" i="1"/>
  <c r="I22" i="1"/>
  <c r="I23" i="1"/>
  <c r="I24" i="1"/>
  <c r="I25" i="1"/>
  <c r="I26" i="1"/>
  <c r="I27" i="1"/>
  <c r="I28" i="1"/>
  <c r="L18" i="1"/>
  <c r="L19" i="1"/>
  <c r="L20" i="1"/>
  <c r="L21" i="1"/>
  <c r="L22" i="1"/>
  <c r="L23" i="1"/>
  <c r="L24" i="1"/>
  <c r="L25" i="1"/>
  <c r="L26" i="1"/>
  <c r="L27" i="1"/>
  <c r="L28" i="1"/>
  <c r="D16" i="1"/>
  <c r="E17" i="1"/>
  <c r="E18" i="1"/>
  <c r="E19" i="1"/>
  <c r="E20" i="1"/>
  <c r="E21" i="1"/>
  <c r="E22" i="1"/>
  <c r="E23" i="1"/>
  <c r="E24" i="1"/>
  <c r="E25" i="1"/>
  <c r="E26" i="1"/>
  <c r="E27" i="1"/>
  <c r="E28" i="1"/>
  <c r="E16" i="1"/>
  <c r="G15" i="3" l="1"/>
  <c r="G16" i="4"/>
  <c r="D17" i="4"/>
  <c r="I17" i="4" s="1"/>
  <c r="D16" i="3"/>
  <c r="I16" i="3" s="1"/>
  <c r="O31" i="1"/>
  <c r="F16" i="1"/>
  <c r="C17" i="1" s="1"/>
  <c r="F17" i="4" l="1"/>
  <c r="F16" i="3"/>
  <c r="D17" i="1"/>
  <c r="F17" i="1" s="1"/>
  <c r="G16" i="1"/>
  <c r="C18" i="4" l="1"/>
  <c r="G17" i="4"/>
  <c r="L17" i="4" s="1"/>
  <c r="M17" i="4" s="1"/>
  <c r="O17" i="4" s="1"/>
  <c r="C17" i="3"/>
  <c r="G16" i="3"/>
  <c r="M16" i="3" s="1"/>
  <c r="O16" i="3" s="1"/>
  <c r="C18" i="1"/>
  <c r="G17" i="1"/>
  <c r="D18" i="4" l="1"/>
  <c r="I18" i="4" s="1"/>
  <c r="D17" i="3"/>
  <c r="I17" i="3" s="1"/>
  <c r="F17" i="3"/>
  <c r="D18" i="1"/>
  <c r="F18" i="1"/>
  <c r="F18" i="4" l="1"/>
  <c r="C19" i="4" s="1"/>
  <c r="C18" i="3"/>
  <c r="G17" i="3"/>
  <c r="L17" i="3" s="1"/>
  <c r="M17" i="3" s="1"/>
  <c r="O17" i="3" s="1"/>
  <c r="C19" i="1"/>
  <c r="G18" i="1"/>
  <c r="G18" i="4" l="1"/>
  <c r="L18" i="4" s="1"/>
  <c r="M18" i="4" s="1"/>
  <c r="O18" i="4" s="1"/>
  <c r="D19" i="4"/>
  <c r="I19" i="4" s="1"/>
  <c r="D18" i="3"/>
  <c r="I18" i="3" s="1"/>
  <c r="D19" i="1"/>
  <c r="F19" i="1" s="1"/>
  <c r="F19" i="4" l="1"/>
  <c r="F18" i="3"/>
  <c r="C20" i="1"/>
  <c r="D20" i="1" s="1"/>
  <c r="F20" i="1" s="1"/>
  <c r="G19" i="1"/>
  <c r="C20" i="4" l="1"/>
  <c r="G19" i="4"/>
  <c r="L19" i="4" s="1"/>
  <c r="M19" i="4" s="1"/>
  <c r="O19" i="4" s="1"/>
  <c r="C19" i="3"/>
  <c r="G18" i="3"/>
  <c r="L18" i="3" s="1"/>
  <c r="M18" i="3" s="1"/>
  <c r="O18" i="3" s="1"/>
  <c r="C21" i="1"/>
  <c r="G20" i="1"/>
  <c r="D20" i="4" l="1"/>
  <c r="I20" i="4" s="1"/>
  <c r="D19" i="3"/>
  <c r="I19" i="3" s="1"/>
  <c r="F19" i="3"/>
  <c r="D21" i="1"/>
  <c r="F21" i="1" s="1"/>
  <c r="F20" i="4" l="1"/>
  <c r="C21" i="4" s="1"/>
  <c r="C20" i="3"/>
  <c r="L19" i="3"/>
  <c r="M19" i="3" s="1"/>
  <c r="O19" i="3" s="1"/>
  <c r="C22" i="1"/>
  <c r="D22" i="1" s="1"/>
  <c r="F22" i="1" s="1"/>
  <c r="G21" i="1"/>
  <c r="G20" i="4" l="1"/>
  <c r="L20" i="4" s="1"/>
  <c r="M20" i="4" s="1"/>
  <c r="O20" i="4" s="1"/>
  <c r="D21" i="4"/>
  <c r="I21" i="4" s="1"/>
  <c r="D20" i="3"/>
  <c r="I20" i="3" s="1"/>
  <c r="C23" i="1"/>
  <c r="D23" i="1" s="1"/>
  <c r="F23" i="1" s="1"/>
  <c r="G22" i="1"/>
  <c r="F21" i="4" l="1"/>
  <c r="F20" i="3"/>
  <c r="C24" i="1"/>
  <c r="G23" i="1"/>
  <c r="C22" i="4" l="1"/>
  <c r="G21" i="4"/>
  <c r="L21" i="4" s="1"/>
  <c r="M21" i="4" s="1"/>
  <c r="O21" i="4" s="1"/>
  <c r="C21" i="3"/>
  <c r="G20" i="3"/>
  <c r="L20" i="3" s="1"/>
  <c r="M20" i="3" s="1"/>
  <c r="O20" i="3" s="1"/>
  <c r="D24" i="1"/>
  <c r="F24" i="1" s="1"/>
  <c r="D22" i="4" l="1"/>
  <c r="I22" i="4" s="1"/>
  <c r="D21" i="3"/>
  <c r="I21" i="3" s="1"/>
  <c r="C25" i="1"/>
  <c r="G24" i="1"/>
  <c r="F22" i="4" l="1"/>
  <c r="C23" i="4" s="1"/>
  <c r="F21" i="3"/>
  <c r="D25" i="1"/>
  <c r="F25" i="1"/>
  <c r="G22" i="4" l="1"/>
  <c r="L22" i="4" s="1"/>
  <c r="M22" i="4" s="1"/>
  <c r="O22" i="4" s="1"/>
  <c r="D23" i="4"/>
  <c r="I23" i="4" s="1"/>
  <c r="C22" i="3"/>
  <c r="G21" i="3"/>
  <c r="L21" i="3" s="1"/>
  <c r="M21" i="3" s="1"/>
  <c r="O21" i="3" s="1"/>
  <c r="C26" i="1"/>
  <c r="G25" i="1"/>
  <c r="F23" i="4" l="1"/>
  <c r="D22" i="3"/>
  <c r="I22" i="3" s="1"/>
  <c r="D26" i="1"/>
  <c r="F26" i="1" s="1"/>
  <c r="C24" i="4" l="1"/>
  <c r="G23" i="4"/>
  <c r="L23" i="4" s="1"/>
  <c r="M23" i="4" s="1"/>
  <c r="O23" i="4" s="1"/>
  <c r="F22" i="3"/>
  <c r="C27" i="1"/>
  <c r="D27" i="1" s="1"/>
  <c r="F27" i="1" s="1"/>
  <c r="G26" i="1"/>
  <c r="D24" i="4" l="1"/>
  <c r="I24" i="4" s="1"/>
  <c r="F24" i="4"/>
  <c r="C23" i="3"/>
  <c r="G22" i="3"/>
  <c r="L22" i="3" s="1"/>
  <c r="M22" i="3" s="1"/>
  <c r="O22" i="3" s="1"/>
  <c r="C28" i="1"/>
  <c r="G27" i="1"/>
  <c r="C25" i="4" l="1"/>
  <c r="G24" i="4"/>
  <c r="L24" i="4" s="1"/>
  <c r="M24" i="4" s="1"/>
  <c r="O24" i="4" s="1"/>
  <c r="D23" i="3"/>
  <c r="I23" i="3" s="1"/>
  <c r="F23" i="3"/>
  <c r="D28" i="1"/>
  <c r="F28" i="1" s="1"/>
  <c r="G28" i="1" s="1"/>
  <c r="D25" i="4" l="1"/>
  <c r="I25" i="4" s="1"/>
  <c r="C24" i="3"/>
  <c r="G23" i="3"/>
  <c r="L23" i="3" s="1"/>
  <c r="M23" i="3" s="1"/>
  <c r="O23" i="3" s="1"/>
  <c r="F25" i="4" l="1"/>
  <c r="D24" i="3"/>
  <c r="I24" i="3" s="1"/>
  <c r="C26" i="4" l="1"/>
  <c r="G25" i="4"/>
  <c r="L25" i="4" s="1"/>
  <c r="M25" i="4" s="1"/>
  <c r="O25" i="4" s="1"/>
  <c r="F24" i="3"/>
  <c r="D26" i="4" l="1"/>
  <c r="I26" i="4" s="1"/>
  <c r="F26" i="4"/>
  <c r="C25" i="3"/>
  <c r="G24" i="3"/>
  <c r="L24" i="3" s="1"/>
  <c r="M24" i="3" s="1"/>
  <c r="O24" i="3" s="1"/>
  <c r="C27" i="4" l="1"/>
  <c r="G26" i="4"/>
  <c r="L26" i="4" s="1"/>
  <c r="M26" i="4" s="1"/>
  <c r="O26" i="4" s="1"/>
  <c r="D25" i="3"/>
  <c r="I25" i="3" s="1"/>
  <c r="F25" i="3"/>
  <c r="D27" i="4" l="1"/>
  <c r="I27" i="4" s="1"/>
  <c r="C26" i="3"/>
  <c r="G25" i="3"/>
  <c r="L25" i="3" s="1"/>
  <c r="M25" i="3" s="1"/>
  <c r="O25" i="3" s="1"/>
  <c r="F27" i="4" l="1"/>
  <c r="D26" i="3"/>
  <c r="I26" i="3" s="1"/>
  <c r="C28" i="4" l="1"/>
  <c r="G27" i="4"/>
  <c r="L27" i="4" s="1"/>
  <c r="M27" i="4" s="1"/>
  <c r="O27" i="4" s="1"/>
  <c r="F26" i="3"/>
  <c r="D28" i="4" l="1"/>
  <c r="I28" i="4" s="1"/>
  <c r="F28" i="4"/>
  <c r="G28" i="4" s="1"/>
  <c r="L28" i="4" s="1"/>
  <c r="M28" i="4" s="1"/>
  <c r="O28" i="4" s="1"/>
  <c r="O31" i="4" s="1"/>
  <c r="C27" i="3"/>
  <c r="G26" i="3"/>
  <c r="L26" i="3" s="1"/>
  <c r="M26" i="3" s="1"/>
  <c r="O26" i="3" s="1"/>
  <c r="D27" i="3" l="1"/>
  <c r="I27" i="3" s="1"/>
  <c r="F27" i="3" l="1"/>
  <c r="G27" i="3" s="1"/>
  <c r="L27" i="3" s="1"/>
  <c r="M27" i="3" s="1"/>
  <c r="O27" i="3" s="1"/>
  <c r="O30" i="3" s="1"/>
</calcChain>
</file>

<file path=xl/sharedStrings.xml><?xml version="1.0" encoding="utf-8"?>
<sst xmlns="http://schemas.openxmlformats.org/spreadsheetml/2006/main" count="78" uniqueCount="30">
  <si>
    <t>Month</t>
  </si>
  <si>
    <t>Product and Policyholder Assumptions</t>
  </si>
  <si>
    <t>Loan Term (months)</t>
  </si>
  <si>
    <t>Loan Amount ®</t>
  </si>
  <si>
    <t>Mortality Rate</t>
  </si>
  <si>
    <t>Lapse Rate (monthly)</t>
  </si>
  <si>
    <t>Upfront Commission (of total premium)</t>
  </si>
  <si>
    <t>Upfront Admin Cost ®</t>
  </si>
  <si>
    <t>Ongoing Admin Cost (per month)</t>
  </si>
  <si>
    <t>P(Dying in  Month)</t>
  </si>
  <si>
    <t>P(Lapse)</t>
  </si>
  <si>
    <t>P(Alive at Start)</t>
  </si>
  <si>
    <t>P(Alive at End)</t>
  </si>
  <si>
    <t>P(Policy Active at End)</t>
  </si>
  <si>
    <t>Expected Loan Payable</t>
  </si>
  <si>
    <t>Upfront Commision</t>
  </si>
  <si>
    <t>Upfront Admin Cost</t>
  </si>
  <si>
    <t>Expected Admin Cost</t>
  </si>
  <si>
    <t>Expected Cash Flow</t>
  </si>
  <si>
    <t>Discount Factor</t>
  </si>
  <si>
    <t>Discount Rate (per annum)</t>
  </si>
  <si>
    <t>E NPV</t>
  </si>
  <si>
    <t>Discounted Expected Cashflows</t>
  </si>
  <si>
    <t>Premium</t>
  </si>
  <si>
    <t>Pricing and Profitability Analysis</t>
  </si>
  <si>
    <t>Premium Calculation</t>
  </si>
  <si>
    <t>Profitability and Premium Analysis</t>
  </si>
  <si>
    <t>Profitability Analysis when Premium = 60</t>
  </si>
  <si>
    <t>Sensitivity Testing for changes in Mortality</t>
  </si>
  <si>
    <t>*The Premium was calculated through Trial and Error until a value was reached that made The NPV as close as possible to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</si>
</sst>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#,##0.00"/>
    <numFmt numFmtId="165" formatCode="_-[$R-1C09]* #,##0.00_-;\-[$R-1C09]* #,##0.00_-;_-[$R-1C09]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8"/>
      <color theme="1"/>
      <name val="Aptos Narrow"/>
      <family val="2"/>
      <scheme val="minor"/>
    </font>
    <font>
      <b/>
      <sz val="18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1"/>
    <xf numFmtId="10" fontId="1" fillId="2" borderId="0" xfId="1" applyNumberFormat="1"/>
    <xf numFmtId="0" fontId="4" fillId="0" borderId="0" xfId="2"/>
    <xf numFmtId="0" fontId="5" fillId="0" borderId="0" xfId="0" applyFont="1"/>
    <xf numFmtId="0" fontId="1" fillId="3" borderId="0" xfId="3"/>
    <xf numFmtId="0" fontId="0" fillId="4" borderId="0" xfId="0" applyFill="1"/>
    <xf numFmtId="0" fontId="2" fillId="4" borderId="0" xfId="3" applyFont="1" applyFill="1"/>
    <xf numFmtId="0" fontId="0" fillId="5" borderId="0" xfId="0" applyFill="1"/>
    <xf numFmtId="0" fontId="6" fillId="0" borderId="0" xfId="2" applyFont="1"/>
    <xf numFmtId="0" fontId="7" fillId="0" borderId="0" xfId="2" applyFont="1"/>
    <xf numFmtId="164" fontId="1" fillId="3" borderId="0" xfId="3" applyNumberFormat="1"/>
    <xf numFmtId="165" fontId="1" fillId="3" borderId="0" xfId="3" applyNumberFormat="1"/>
    <xf numFmtId="0" fontId="8" fillId="0" borderId="0" xfId="2" applyFont="1"/>
    <xf numFmtId="0" fontId="9" fillId="0" borderId="0" xfId="2" applyFont="1"/>
  </cellXfs>
  <cellStyles count="4">
    <cellStyle name="20% - Accent3" xfId="1" builtinId="38"/>
    <cellStyle name="40% - Accent1" xfId="3" builtinId="31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7247-0EA2-439A-8916-3CD044B97752}">
  <dimension ref="A1:O30"/>
  <sheetViews>
    <sheetView topLeftCell="H12" workbookViewId="0">
      <selection activeCell="K6" sqref="K6"/>
    </sheetView>
  </sheetViews>
  <sheetFormatPr defaultRowHeight="15" x14ac:dyDescent="0.25"/>
  <cols>
    <col min="1" max="1" width="44" customWidth="1"/>
    <col min="3" max="3" width="15.42578125" customWidth="1"/>
    <col min="4" max="4" width="17" customWidth="1"/>
    <col min="5" max="5" width="11" customWidth="1"/>
    <col min="6" max="6" width="14.42578125" customWidth="1"/>
    <col min="7" max="7" width="21" customWidth="1"/>
    <col min="8" max="8" width="17.42578125" customWidth="1"/>
    <col min="9" max="9" width="21.42578125" customWidth="1"/>
    <col min="10" max="10" width="18" customWidth="1"/>
    <col min="11" max="11" width="17.85546875" customWidth="1"/>
    <col min="12" max="12" width="20" customWidth="1"/>
    <col min="13" max="13" width="18.42578125" customWidth="1"/>
    <col min="14" max="14" width="14.7109375" customWidth="1"/>
    <col min="15" max="15" width="27.140625" customWidth="1"/>
  </cols>
  <sheetData>
    <row r="1" spans="1:15" ht="21" customHeight="1" x14ac:dyDescent="0.4">
      <c r="A1" s="6" t="s">
        <v>24</v>
      </c>
      <c r="C1" s="6"/>
      <c r="D1" s="5"/>
    </row>
    <row r="2" spans="1:15" x14ac:dyDescent="0.25">
      <c r="B2" s="1"/>
    </row>
    <row r="3" spans="1:15" ht="17.25" customHeight="1" x14ac:dyDescent="0.4">
      <c r="A3" s="2" t="s">
        <v>1</v>
      </c>
      <c r="C3" s="5"/>
    </row>
    <row r="4" spans="1:15" ht="21" customHeight="1" x14ac:dyDescent="0.4">
      <c r="A4" t="s">
        <v>3</v>
      </c>
      <c r="B4" s="3">
        <v>10000</v>
      </c>
      <c r="C4" s="5"/>
      <c r="D4" s="16" t="s">
        <v>29</v>
      </c>
    </row>
    <row r="5" spans="1:15" x14ac:dyDescent="0.25">
      <c r="A5" t="s">
        <v>4</v>
      </c>
      <c r="B5" s="3">
        <v>5.0000000000000001E-3</v>
      </c>
    </row>
    <row r="6" spans="1:15" x14ac:dyDescent="0.25">
      <c r="A6" t="s">
        <v>5</v>
      </c>
      <c r="B6" s="3">
        <v>0.01</v>
      </c>
    </row>
    <row r="7" spans="1:15" x14ac:dyDescent="0.25">
      <c r="A7" t="s">
        <v>6</v>
      </c>
      <c r="B7" s="3">
        <v>0.15</v>
      </c>
    </row>
    <row r="8" spans="1:15" x14ac:dyDescent="0.25">
      <c r="A8" t="s">
        <v>7</v>
      </c>
      <c r="B8" s="3">
        <v>50</v>
      </c>
    </row>
    <row r="9" spans="1:15" x14ac:dyDescent="0.25">
      <c r="A9" t="s">
        <v>8</v>
      </c>
      <c r="B9" s="3">
        <v>5</v>
      </c>
    </row>
    <row r="10" spans="1:15" x14ac:dyDescent="0.25">
      <c r="A10" t="s">
        <v>20</v>
      </c>
      <c r="B10" s="4">
        <v>0.08</v>
      </c>
    </row>
    <row r="11" spans="1:15" x14ac:dyDescent="0.25">
      <c r="H11" s="15"/>
    </row>
    <row r="12" spans="1:15" x14ac:dyDescent="0.25">
      <c r="H12" s="10"/>
    </row>
    <row r="13" spans="1:15" ht="18.75" x14ac:dyDescent="0.3">
      <c r="A13" s="12" t="s">
        <v>25</v>
      </c>
    </row>
    <row r="14" spans="1:15" x14ac:dyDescent="0.25">
      <c r="B14" s="1" t="s">
        <v>0</v>
      </c>
      <c r="C14" s="1" t="s">
        <v>11</v>
      </c>
      <c r="D14" s="1" t="s">
        <v>9</v>
      </c>
      <c r="E14" s="1" t="s">
        <v>10</v>
      </c>
      <c r="F14" s="1" t="s">
        <v>12</v>
      </c>
      <c r="G14" s="1" t="s">
        <v>13</v>
      </c>
      <c r="H14" s="9" t="s">
        <v>23</v>
      </c>
      <c r="I14" s="1" t="s">
        <v>14</v>
      </c>
      <c r="J14" s="1" t="s">
        <v>15</v>
      </c>
      <c r="K14" s="1" t="s">
        <v>16</v>
      </c>
      <c r="L14" s="1" t="s">
        <v>17</v>
      </c>
      <c r="M14" s="1" t="s">
        <v>18</v>
      </c>
      <c r="N14" s="1" t="s">
        <v>19</v>
      </c>
      <c r="O14" s="1" t="s">
        <v>22</v>
      </c>
    </row>
    <row r="15" spans="1:15" x14ac:dyDescent="0.25">
      <c r="B15">
        <v>0</v>
      </c>
      <c r="C15">
        <v>1</v>
      </c>
      <c r="D15">
        <f t="shared" ref="D15:D27" si="0">C15*($B$5/12)</f>
        <v>4.1666666666666669E-4</v>
      </c>
      <c r="E15">
        <f>$B$6</f>
        <v>0.01</v>
      </c>
      <c r="F15">
        <f>C15-D15</f>
        <v>0.99958333333333338</v>
      </c>
      <c r="G15">
        <f>(1-E15)*F15</f>
        <v>0.98958750000000006</v>
      </c>
      <c r="H15" s="8">
        <v>21.95</v>
      </c>
      <c r="I15">
        <v>0</v>
      </c>
      <c r="J15">
        <f>SUM(H15:H27)*B7</f>
        <v>39.509999999999984</v>
      </c>
      <c r="K15">
        <v>50</v>
      </c>
      <c r="L15">
        <v>0</v>
      </c>
      <c r="M15">
        <f>H15*N15*C15-I15-J15-K15-L15</f>
        <v>-67.559999999999988</v>
      </c>
      <c r="N15">
        <v>1</v>
      </c>
      <c r="O15">
        <f>M15*N15</f>
        <v>-67.559999999999988</v>
      </c>
    </row>
    <row r="16" spans="1:15" x14ac:dyDescent="0.25">
      <c r="B16">
        <v>1</v>
      </c>
      <c r="C16">
        <f>F15</f>
        <v>0.99958333333333338</v>
      </c>
      <c r="D16">
        <f t="shared" si="0"/>
        <v>4.1649305555555558E-4</v>
      </c>
      <c r="E16">
        <f t="shared" ref="E16:E27" si="1">$B$6</f>
        <v>0.01</v>
      </c>
      <c r="F16">
        <f>(C16-D16)</f>
        <v>0.9991668402777778</v>
      </c>
      <c r="G16">
        <f>(1-E16)*F16</f>
        <v>0.98917517187500004</v>
      </c>
      <c r="H16" s="8">
        <v>21.95</v>
      </c>
      <c r="I16">
        <f t="shared" ref="I16:I27" si="2">($B$4/12)*D16</f>
        <v>0.34707754629629634</v>
      </c>
      <c r="J16">
        <v>0</v>
      </c>
      <c r="K16">
        <v>0</v>
      </c>
      <c r="L16">
        <f>$B$9*G16</f>
        <v>4.9458758593750005</v>
      </c>
      <c r="M16">
        <f t="shared" ref="M16:M27" si="3">H16*N16*C16-I16-J16-K16-L16</f>
        <v>15.022652304205245</v>
      </c>
      <c r="N16">
        <f>(1+$B$10)^-B16</f>
        <v>0.92592592592592582</v>
      </c>
      <c r="O16">
        <f t="shared" ref="O16:O27" si="4">M16*N16</f>
        <v>13.909863244634485</v>
      </c>
    </row>
    <row r="17" spans="2:15" x14ac:dyDescent="0.25">
      <c r="B17">
        <v>2</v>
      </c>
      <c r="C17">
        <f t="shared" ref="C17:C27" si="5">F16</f>
        <v>0.9991668402777778</v>
      </c>
      <c r="D17">
        <f t="shared" si="0"/>
        <v>4.1631951678240746E-4</v>
      </c>
      <c r="E17">
        <f t="shared" si="1"/>
        <v>0.01</v>
      </c>
      <c r="F17">
        <f t="shared" ref="F17:F27" si="6">(C17-D17)</f>
        <v>0.99875052076099535</v>
      </c>
      <c r="G17">
        <f t="shared" ref="G17:G27" si="7">(1-E17)*F17</f>
        <v>0.98876301555338542</v>
      </c>
      <c r="H17" s="8">
        <v>21.95</v>
      </c>
      <c r="I17">
        <f t="shared" si="2"/>
        <v>0.34693293065200626</v>
      </c>
      <c r="J17">
        <v>0</v>
      </c>
      <c r="K17">
        <v>0</v>
      </c>
      <c r="L17">
        <f t="shared" ref="L17:L27" si="8">$B$9*G17</f>
        <v>4.943815077766927</v>
      </c>
      <c r="M17">
        <f t="shared" si="3"/>
        <v>13.512160208399671</v>
      </c>
      <c r="N17">
        <f t="shared" ref="N17:N27" si="9">(1+$B$10)^-B17</f>
        <v>0.85733882030178321</v>
      </c>
      <c r="O17">
        <f t="shared" si="4"/>
        <v>11.58449949279807</v>
      </c>
    </row>
    <row r="18" spans="2:15" x14ac:dyDescent="0.25">
      <c r="B18">
        <v>3</v>
      </c>
      <c r="C18">
        <f t="shared" si="5"/>
        <v>0.99875052076099535</v>
      </c>
      <c r="D18">
        <f t="shared" si="0"/>
        <v>4.1614605031708144E-4</v>
      </c>
      <c r="E18">
        <f t="shared" si="1"/>
        <v>0.01</v>
      </c>
      <c r="F18">
        <f t="shared" si="6"/>
        <v>0.99833437471067832</v>
      </c>
      <c r="G18">
        <f t="shared" si="7"/>
        <v>0.98835103096357158</v>
      </c>
      <c r="H18" s="8">
        <v>21.95</v>
      </c>
      <c r="I18">
        <f t="shared" si="2"/>
        <v>0.34678837526423456</v>
      </c>
      <c r="J18">
        <v>0</v>
      </c>
      <c r="K18">
        <v>0</v>
      </c>
      <c r="L18">
        <f t="shared" si="8"/>
        <v>4.9417551548178578</v>
      </c>
      <c r="M18">
        <f t="shared" si="3"/>
        <v>12.114302462258888</v>
      </c>
      <c r="N18">
        <f t="shared" si="9"/>
        <v>0.79383224102016958</v>
      </c>
      <c r="O18">
        <f t="shared" si="4"/>
        <v>9.6167238720111303</v>
      </c>
    </row>
    <row r="19" spans="2:15" x14ac:dyDescent="0.25">
      <c r="B19">
        <v>4</v>
      </c>
      <c r="C19">
        <f t="shared" si="5"/>
        <v>0.99833437471067832</v>
      </c>
      <c r="D19">
        <f t="shared" si="0"/>
        <v>4.1597265612944935E-4</v>
      </c>
      <c r="E19">
        <f t="shared" si="1"/>
        <v>0.01</v>
      </c>
      <c r="F19">
        <f t="shared" si="6"/>
        <v>0.99791840205454885</v>
      </c>
      <c r="G19">
        <f>(1-E19)*F19</f>
        <v>0.98793921803400331</v>
      </c>
      <c r="H19" s="8">
        <v>21.95</v>
      </c>
      <c r="I19">
        <f t="shared" si="2"/>
        <v>0.34664388010787445</v>
      </c>
      <c r="J19">
        <v>0</v>
      </c>
      <c r="K19">
        <v>0</v>
      </c>
      <c r="L19">
        <f t="shared" si="8"/>
        <v>4.9396960901700169</v>
      </c>
      <c r="M19">
        <f t="shared" si="3"/>
        <v>10.820692257972885</v>
      </c>
      <c r="N19">
        <f t="shared" si="9"/>
        <v>0.73502985279645328</v>
      </c>
      <c r="O19">
        <f t="shared" si="4"/>
        <v>7.9535318375335313</v>
      </c>
    </row>
    <row r="20" spans="2:15" x14ac:dyDescent="0.25">
      <c r="B20">
        <v>5</v>
      </c>
      <c r="C20">
        <f t="shared" si="5"/>
        <v>0.99791840205454885</v>
      </c>
      <c r="D20">
        <f t="shared" si="0"/>
        <v>4.157993341893954E-4</v>
      </c>
      <c r="E20">
        <f t="shared" si="1"/>
        <v>0.01</v>
      </c>
      <c r="F20">
        <f t="shared" si="6"/>
        <v>0.9975026027203594</v>
      </c>
      <c r="G20">
        <f t="shared" si="7"/>
        <v>0.98752757669315583</v>
      </c>
      <c r="H20" s="8">
        <v>21.95</v>
      </c>
      <c r="I20">
        <f t="shared" si="2"/>
        <v>0.34649944515782954</v>
      </c>
      <c r="J20">
        <v>0</v>
      </c>
      <c r="K20">
        <v>0</v>
      </c>
      <c r="L20">
        <f t="shared" si="8"/>
        <v>4.9376378834657793</v>
      </c>
      <c r="M20">
        <f t="shared" si="3"/>
        <v>9.6235672684341136</v>
      </c>
      <c r="N20">
        <f t="shared" si="9"/>
        <v>0.68058319703375303</v>
      </c>
      <c r="O20">
        <f t="shared" si="4"/>
        <v>6.5496381784202704</v>
      </c>
    </row>
    <row r="21" spans="2:15" x14ac:dyDescent="0.25">
      <c r="B21">
        <v>6</v>
      </c>
      <c r="C21">
        <f t="shared" si="5"/>
        <v>0.9975026027203594</v>
      </c>
      <c r="D21">
        <f t="shared" si="0"/>
        <v>4.1562608446681646E-4</v>
      </c>
      <c r="E21">
        <f t="shared" si="1"/>
        <v>0.01</v>
      </c>
      <c r="F21">
        <f t="shared" si="6"/>
        <v>0.99708697663589263</v>
      </c>
      <c r="G21">
        <f t="shared" si="7"/>
        <v>0.98711610686953366</v>
      </c>
      <c r="H21" s="8">
        <v>21.95</v>
      </c>
      <c r="I21">
        <f t="shared" si="2"/>
        <v>0.34635507038901375</v>
      </c>
      <c r="J21">
        <v>0</v>
      </c>
      <c r="K21">
        <v>0</v>
      </c>
      <c r="L21">
        <f t="shared" si="8"/>
        <v>4.9355805343476682</v>
      </c>
      <c r="M21">
        <f t="shared" si="3"/>
        <v>8.5157431484814765</v>
      </c>
      <c r="N21">
        <f t="shared" si="9"/>
        <v>0.63016962688310452</v>
      </c>
      <c r="O21">
        <f t="shared" si="4"/>
        <v>5.3663626825109256</v>
      </c>
    </row>
    <row r="22" spans="2:15" x14ac:dyDescent="0.25">
      <c r="B22">
        <v>7</v>
      </c>
      <c r="C22">
        <f t="shared" si="5"/>
        <v>0.99708697663589263</v>
      </c>
      <c r="D22">
        <f t="shared" si="0"/>
        <v>4.1545290693162194E-4</v>
      </c>
      <c r="E22">
        <f t="shared" si="1"/>
        <v>0.01</v>
      </c>
      <c r="F22">
        <f t="shared" si="6"/>
        <v>0.99667152372896106</v>
      </c>
      <c r="G22">
        <f t="shared" si="7"/>
        <v>0.98670480849167141</v>
      </c>
      <c r="H22" s="8">
        <v>21.95</v>
      </c>
      <c r="I22">
        <f t="shared" si="2"/>
        <v>0.34621075577635163</v>
      </c>
      <c r="J22">
        <v>0</v>
      </c>
      <c r="K22">
        <v>0</v>
      </c>
      <c r="L22">
        <f t="shared" si="8"/>
        <v>4.9335240424583571</v>
      </c>
      <c r="M22">
        <f t="shared" si="3"/>
        <v>7.4905704984359591</v>
      </c>
      <c r="N22">
        <f t="shared" si="9"/>
        <v>0.58349039526213387</v>
      </c>
      <c r="O22">
        <f>M22*N22</f>
        <v>4.3706759408712772</v>
      </c>
    </row>
    <row r="23" spans="2:15" x14ac:dyDescent="0.25">
      <c r="B23">
        <v>8</v>
      </c>
      <c r="C23">
        <f t="shared" si="5"/>
        <v>0.99667152372896106</v>
      </c>
      <c r="D23">
        <f t="shared" si="0"/>
        <v>4.1527980155373382E-4</v>
      </c>
      <c r="E23">
        <f t="shared" si="1"/>
        <v>0.01</v>
      </c>
      <c r="F23">
        <f t="shared" si="6"/>
        <v>0.9962562439274073</v>
      </c>
      <c r="G23">
        <f t="shared" si="7"/>
        <v>0.98629368148813323</v>
      </c>
      <c r="H23" s="8">
        <v>21.95</v>
      </c>
      <c r="I23">
        <f t="shared" si="2"/>
        <v>0.34606650129477817</v>
      </c>
      <c r="J23">
        <v>0</v>
      </c>
      <c r="K23">
        <v>0</v>
      </c>
      <c r="L23">
        <f t="shared" si="8"/>
        <v>4.9314684074406658</v>
      </c>
      <c r="M23">
        <f t="shared" si="3"/>
        <v>6.5418950321260239</v>
      </c>
      <c r="N23">
        <f t="shared" si="9"/>
        <v>0.54026888450197574</v>
      </c>
      <c r="O23">
        <f t="shared" si="4"/>
        <v>3.5343823315357437</v>
      </c>
    </row>
    <row r="24" spans="2:15" x14ac:dyDescent="0.25">
      <c r="B24">
        <v>9</v>
      </c>
      <c r="C24">
        <f t="shared" si="5"/>
        <v>0.9962562439274073</v>
      </c>
      <c r="D24">
        <f t="shared" si="0"/>
        <v>4.151067683030864E-4</v>
      </c>
      <c r="E24">
        <f t="shared" si="1"/>
        <v>0.01</v>
      </c>
      <c r="F24">
        <f t="shared" si="6"/>
        <v>0.99584113715910416</v>
      </c>
      <c r="G24">
        <f t="shared" si="7"/>
        <v>0.98588272578751313</v>
      </c>
      <c r="H24" s="8">
        <v>21.95</v>
      </c>
      <c r="I24">
        <f t="shared" si="2"/>
        <v>0.3459223069192387</v>
      </c>
      <c r="J24">
        <v>0</v>
      </c>
      <c r="K24">
        <v>0</v>
      </c>
      <c r="L24">
        <f t="shared" si="8"/>
        <v>4.9294136289375654</v>
      </c>
      <c r="M24">
        <f t="shared" si="3"/>
        <v>5.6640207107970024</v>
      </c>
      <c r="N24">
        <f t="shared" si="9"/>
        <v>0.50024896713145905</v>
      </c>
      <c r="O24">
        <f t="shared" si="4"/>
        <v>2.8334205103873931</v>
      </c>
    </row>
    <row r="25" spans="2:15" x14ac:dyDescent="0.25">
      <c r="B25">
        <v>10</v>
      </c>
      <c r="C25">
        <f t="shared" si="5"/>
        <v>0.99584113715910416</v>
      </c>
      <c r="D25">
        <f t="shared" si="0"/>
        <v>4.1493380714962674E-4</v>
      </c>
      <c r="E25">
        <f t="shared" si="1"/>
        <v>0.01</v>
      </c>
      <c r="F25">
        <f t="shared" si="6"/>
        <v>0.99542620335195453</v>
      </c>
      <c r="G25">
        <f t="shared" si="7"/>
        <v>0.98547194131843496</v>
      </c>
      <c r="H25" s="8">
        <v>21.95</v>
      </c>
      <c r="I25">
        <f t="shared" si="2"/>
        <v>0.34577817262468896</v>
      </c>
      <c r="J25">
        <v>0</v>
      </c>
      <c r="K25">
        <v>0</v>
      </c>
      <c r="L25">
        <f t="shared" si="8"/>
        <v>4.927359706592175</v>
      </c>
      <c r="M25">
        <f t="shared" si="3"/>
        <v>4.8516756220649553</v>
      </c>
      <c r="N25">
        <f t="shared" si="9"/>
        <v>0.46319348808468425</v>
      </c>
      <c r="O25">
        <f t="shared" si="4"/>
        <v>2.2472645544396967</v>
      </c>
    </row>
    <row r="26" spans="2:15" x14ac:dyDescent="0.25">
      <c r="B26">
        <v>11</v>
      </c>
      <c r="C26">
        <f t="shared" si="5"/>
        <v>0.99542620335195453</v>
      </c>
      <c r="D26">
        <f t="shared" si="0"/>
        <v>4.1476091806331441E-4</v>
      </c>
      <c r="E26">
        <f t="shared" si="1"/>
        <v>0.01</v>
      </c>
      <c r="F26">
        <f t="shared" si="6"/>
        <v>0.99501144243389117</v>
      </c>
      <c r="G26">
        <f t="shared" si="7"/>
        <v>0.98506132800955226</v>
      </c>
      <c r="H26" s="8">
        <v>21.95</v>
      </c>
      <c r="I26">
        <f t="shared" si="2"/>
        <v>0.34563409838609538</v>
      </c>
      <c r="J26">
        <v>0</v>
      </c>
      <c r="K26">
        <v>0</v>
      </c>
      <c r="L26">
        <f t="shared" si="8"/>
        <v>4.9253066400477614</v>
      </c>
      <c r="M26">
        <f t="shared" si="3"/>
        <v>4.0999803995194934</v>
      </c>
      <c r="N26">
        <f t="shared" si="9"/>
        <v>0.42888285933767062</v>
      </c>
      <c r="O26">
        <f t="shared" si="4"/>
        <v>1.7584113169743254</v>
      </c>
    </row>
    <row r="27" spans="2:15" x14ac:dyDescent="0.25">
      <c r="B27">
        <v>12</v>
      </c>
      <c r="C27">
        <f t="shared" si="5"/>
        <v>0.99501144243389117</v>
      </c>
      <c r="D27">
        <f t="shared" si="0"/>
        <v>4.1458810101412135E-4</v>
      </c>
      <c r="E27">
        <f t="shared" si="1"/>
        <v>0.01</v>
      </c>
      <c r="F27">
        <f t="shared" si="6"/>
        <v>0.99459685433287703</v>
      </c>
      <c r="G27">
        <f t="shared" si="7"/>
        <v>0.98465088578954829</v>
      </c>
      <c r="H27" s="8">
        <v>0</v>
      </c>
      <c r="I27">
        <f t="shared" si="2"/>
        <v>0.34549008417843446</v>
      </c>
      <c r="J27">
        <v>0</v>
      </c>
      <c r="K27">
        <v>0</v>
      </c>
      <c r="L27">
        <f t="shared" si="8"/>
        <v>4.9232544289477413</v>
      </c>
      <c r="M27">
        <f t="shared" si="3"/>
        <v>-5.2687445131261761</v>
      </c>
      <c r="N27">
        <f t="shared" si="9"/>
        <v>0.39711375864599124</v>
      </c>
      <c r="O27">
        <f t="shared" si="4"/>
        <v>-2.092290936952979</v>
      </c>
    </row>
    <row r="30" spans="2:15" x14ac:dyDescent="0.25">
      <c r="N30" s="1" t="s">
        <v>21</v>
      </c>
      <c r="O30">
        <f>SUM(O15:O27)</f>
        <v>7.2483025163876835E-2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55BC-B65F-4B30-B88A-BA7EE4052F9B}">
  <dimension ref="A1:O31"/>
  <sheetViews>
    <sheetView tabSelected="1" topLeftCell="A21" workbookViewId="0">
      <selection activeCell="O31" sqref="O31"/>
    </sheetView>
  </sheetViews>
  <sheetFormatPr defaultRowHeight="15" x14ac:dyDescent="0.25"/>
  <cols>
    <col min="1" max="1" width="44" customWidth="1"/>
    <col min="3" max="3" width="15.42578125" customWidth="1"/>
    <col min="4" max="4" width="17" customWidth="1"/>
    <col min="5" max="5" width="11" customWidth="1"/>
    <col min="6" max="6" width="14.42578125" customWidth="1"/>
    <col min="7" max="7" width="21" customWidth="1"/>
    <col min="8" max="8" width="17.42578125" customWidth="1"/>
    <col min="9" max="9" width="21.42578125" customWidth="1"/>
    <col min="10" max="10" width="18" customWidth="1"/>
    <col min="11" max="11" width="17.85546875" customWidth="1"/>
    <col min="12" max="12" width="20" customWidth="1"/>
    <col min="13" max="13" width="18.42578125" customWidth="1"/>
    <col min="14" max="14" width="14.7109375" customWidth="1"/>
    <col min="15" max="15" width="27.140625" customWidth="1"/>
  </cols>
  <sheetData>
    <row r="1" spans="1:15" ht="24" x14ac:dyDescent="0.4">
      <c r="A1" s="11" t="s">
        <v>26</v>
      </c>
      <c r="D1" s="5"/>
    </row>
    <row r="2" spans="1:15" x14ac:dyDescent="0.25">
      <c r="B2" s="1"/>
    </row>
    <row r="3" spans="1:15" ht="18.75" x14ac:dyDescent="0.3">
      <c r="A3" s="2" t="s">
        <v>1</v>
      </c>
    </row>
    <row r="4" spans="1:15" x14ac:dyDescent="0.25">
      <c r="A4" t="s">
        <v>2</v>
      </c>
      <c r="B4" s="3">
        <v>12</v>
      </c>
    </row>
    <row r="5" spans="1:15" x14ac:dyDescent="0.25">
      <c r="A5" t="s">
        <v>3</v>
      </c>
      <c r="B5" s="3">
        <v>10000</v>
      </c>
    </row>
    <row r="6" spans="1:15" x14ac:dyDescent="0.25">
      <c r="A6" t="s">
        <v>4</v>
      </c>
      <c r="B6" s="3">
        <v>5.0000000000000001E-3</v>
      </c>
    </row>
    <row r="7" spans="1:15" x14ac:dyDescent="0.25">
      <c r="A7" t="s">
        <v>5</v>
      </c>
      <c r="B7" s="3">
        <v>0.01</v>
      </c>
    </row>
    <row r="8" spans="1:15" x14ac:dyDescent="0.25">
      <c r="A8" t="s">
        <v>6</v>
      </c>
      <c r="B8" s="3">
        <v>0.15</v>
      </c>
    </row>
    <row r="9" spans="1:15" x14ac:dyDescent="0.25">
      <c r="A9" t="s">
        <v>7</v>
      </c>
      <c r="B9" s="3">
        <v>50</v>
      </c>
    </row>
    <row r="10" spans="1:15" x14ac:dyDescent="0.25">
      <c r="A10" t="s">
        <v>8</v>
      </c>
      <c r="B10" s="3">
        <v>5</v>
      </c>
    </row>
    <row r="11" spans="1:15" x14ac:dyDescent="0.25">
      <c r="A11" t="s">
        <v>20</v>
      </c>
      <c r="B11" s="4">
        <v>0.08</v>
      </c>
    </row>
    <row r="14" spans="1:15" ht="18.75" x14ac:dyDescent="0.3">
      <c r="A14" s="12" t="s">
        <v>27</v>
      </c>
    </row>
    <row r="15" spans="1:15" x14ac:dyDescent="0.25">
      <c r="B15" s="1" t="s">
        <v>0</v>
      </c>
      <c r="C15" s="1" t="s">
        <v>11</v>
      </c>
      <c r="D15" s="1" t="s">
        <v>9</v>
      </c>
      <c r="E15" s="1" t="s">
        <v>10</v>
      </c>
      <c r="F15" s="1" t="s">
        <v>12</v>
      </c>
      <c r="G15" s="1" t="s">
        <v>13</v>
      </c>
      <c r="H15" s="1" t="s">
        <v>23</v>
      </c>
      <c r="I15" s="1" t="s">
        <v>14</v>
      </c>
      <c r="J15" s="1" t="s">
        <v>15</v>
      </c>
      <c r="K15" s="1" t="s">
        <v>16</v>
      </c>
      <c r="L15" s="1" t="s">
        <v>17</v>
      </c>
      <c r="M15" s="1" t="s">
        <v>18</v>
      </c>
      <c r="N15" s="1" t="s">
        <v>19</v>
      </c>
      <c r="O15" s="1" t="s">
        <v>22</v>
      </c>
    </row>
    <row r="16" spans="1:15" x14ac:dyDescent="0.25">
      <c r="B16">
        <v>0</v>
      </c>
      <c r="C16">
        <v>1</v>
      </c>
      <c r="D16">
        <f>C16*($B$6/12)</f>
        <v>4.1666666666666669E-4</v>
      </c>
      <c r="E16">
        <f>$B$7</f>
        <v>0.01</v>
      </c>
      <c r="F16">
        <f>C16-D16</f>
        <v>0.99958333333333338</v>
      </c>
      <c r="G16">
        <f>(1-E16)*F16</f>
        <v>0.98958750000000006</v>
      </c>
      <c r="H16">
        <v>60</v>
      </c>
      <c r="I16">
        <v>0</v>
      </c>
      <c r="J16">
        <f>SUM(H16:H28)*B8</f>
        <v>108</v>
      </c>
      <c r="K16">
        <v>50</v>
      </c>
      <c r="L16">
        <v>0</v>
      </c>
      <c r="M16">
        <f>H16*N16*C16-I16-J16-K16-L16</f>
        <v>-98</v>
      </c>
      <c r="N16">
        <v>1</v>
      </c>
      <c r="O16">
        <f>M16*N16</f>
        <v>-98</v>
      </c>
    </row>
    <row r="17" spans="2:15" x14ac:dyDescent="0.25">
      <c r="B17">
        <v>1</v>
      </c>
      <c r="C17">
        <f>F16</f>
        <v>0.99958333333333338</v>
      </c>
      <c r="D17">
        <f>C17*($B$6/12)</f>
        <v>4.1649305555555558E-4</v>
      </c>
      <c r="E17">
        <f t="shared" ref="E17:E28" si="0">$B$7</f>
        <v>0.01</v>
      </c>
      <c r="F17">
        <f>(C17-D17)</f>
        <v>0.9991668402777778</v>
      </c>
      <c r="G17">
        <f>(1-E17)*F17</f>
        <v>0.98917517187500004</v>
      </c>
      <c r="H17">
        <v>60</v>
      </c>
      <c r="I17">
        <f>($B$5/12)*D17</f>
        <v>0.34707754629629634</v>
      </c>
      <c r="J17">
        <v>0</v>
      </c>
      <c r="K17">
        <v>0</v>
      </c>
      <c r="L17">
        <f>$B$10*G17</f>
        <v>4.9458758593750005</v>
      </c>
      <c r="M17">
        <f t="shared" ref="M17:M28" si="1">H17*N17*C17-I17-J17-K17-L17</f>
        <v>50.239454001736107</v>
      </c>
      <c r="N17">
        <f>(1+$B$11)^-B17</f>
        <v>0.92592592592592582</v>
      </c>
      <c r="O17">
        <f t="shared" ref="O17:O28" si="2">M17*N17</f>
        <v>46.518012964570467</v>
      </c>
    </row>
    <row r="18" spans="2:15" x14ac:dyDescent="0.25">
      <c r="B18">
        <v>2</v>
      </c>
      <c r="C18">
        <f t="shared" ref="C18:C28" si="3">F17</f>
        <v>0.9991668402777778</v>
      </c>
      <c r="D18">
        <f t="shared" ref="D18:D28" si="4">C18*($B$6/12)</f>
        <v>4.1631951678240746E-4</v>
      </c>
      <c r="E18">
        <f t="shared" si="0"/>
        <v>0.01</v>
      </c>
      <c r="F18">
        <f t="shared" ref="F18:F28" si="5">(C18-D18)</f>
        <v>0.99875052076099535</v>
      </c>
      <c r="G18">
        <f t="shared" ref="G18:G28" si="6">(1-E18)*F18</f>
        <v>0.98876301555338542</v>
      </c>
      <c r="H18">
        <v>60</v>
      </c>
      <c r="I18">
        <f t="shared" ref="I18:I28" si="7">($B$5/12)*D18</f>
        <v>0.34693293065200626</v>
      </c>
      <c r="J18">
        <v>0</v>
      </c>
      <c r="K18">
        <v>0</v>
      </c>
      <c r="L18">
        <f t="shared" ref="L18:L28" si="8">$B$10*G18</f>
        <v>4.943815077766927</v>
      </c>
      <c r="M18">
        <f t="shared" si="1"/>
        <v>46.106723199285682</v>
      </c>
      <c r="N18">
        <f t="shared" ref="N18:N28" si="9">(1+$B$11)^-B18</f>
        <v>0.85733882030178321</v>
      </c>
      <c r="O18">
        <f t="shared" si="2"/>
        <v>39.529083675656445</v>
      </c>
    </row>
    <row r="19" spans="2:15" x14ac:dyDescent="0.25">
      <c r="B19">
        <v>3</v>
      </c>
      <c r="C19">
        <f t="shared" si="3"/>
        <v>0.99875052076099535</v>
      </c>
      <c r="D19">
        <f t="shared" si="4"/>
        <v>4.1614605031708144E-4</v>
      </c>
      <c r="E19">
        <f t="shared" si="0"/>
        <v>0.01</v>
      </c>
      <c r="F19">
        <f t="shared" si="5"/>
        <v>0.99833437471067832</v>
      </c>
      <c r="G19">
        <f t="shared" si="6"/>
        <v>0.98835103096357158</v>
      </c>
      <c r="H19">
        <v>60</v>
      </c>
      <c r="I19">
        <f t="shared" si="7"/>
        <v>0.34678837526423456</v>
      </c>
      <c r="J19">
        <v>0</v>
      </c>
      <c r="K19">
        <v>0</v>
      </c>
      <c r="L19">
        <f t="shared" si="8"/>
        <v>4.9417551548178578</v>
      </c>
      <c r="M19">
        <f t="shared" si="1"/>
        <v>42.281878316863654</v>
      </c>
      <c r="N19">
        <f t="shared" si="9"/>
        <v>0.79383224102016958</v>
      </c>
      <c r="O19">
        <f t="shared" si="2"/>
        <v>33.564718218817994</v>
      </c>
    </row>
    <row r="20" spans="2:15" x14ac:dyDescent="0.25">
      <c r="B20">
        <v>4</v>
      </c>
      <c r="C20">
        <f t="shared" si="3"/>
        <v>0.99833437471067832</v>
      </c>
      <c r="D20">
        <f t="shared" si="4"/>
        <v>4.1597265612944935E-4</v>
      </c>
      <c r="E20">
        <f t="shared" si="0"/>
        <v>0.01</v>
      </c>
      <c r="F20">
        <f t="shared" si="5"/>
        <v>0.99791840205454885</v>
      </c>
      <c r="G20">
        <f t="shared" si="6"/>
        <v>0.98793921803400331</v>
      </c>
      <c r="H20">
        <v>60</v>
      </c>
      <c r="I20">
        <f t="shared" si="7"/>
        <v>0.34664388010787445</v>
      </c>
      <c r="J20">
        <v>0</v>
      </c>
      <c r="K20">
        <v>0</v>
      </c>
      <c r="L20">
        <f t="shared" si="8"/>
        <v>4.9396960901700169</v>
      </c>
      <c r="M20">
        <f t="shared" si="1"/>
        <v>38.741994138835857</v>
      </c>
      <c r="N20">
        <f t="shared" si="9"/>
        <v>0.73502985279645328</v>
      </c>
      <c r="O20">
        <f t="shared" si="2"/>
        <v>28.476522248909575</v>
      </c>
    </row>
    <row r="21" spans="2:15" x14ac:dyDescent="0.25">
      <c r="B21">
        <v>5</v>
      </c>
      <c r="C21">
        <f t="shared" si="3"/>
        <v>0.99791840205454885</v>
      </c>
      <c r="D21">
        <f t="shared" si="4"/>
        <v>4.157993341893954E-4</v>
      </c>
      <c r="E21">
        <f t="shared" si="0"/>
        <v>0.01</v>
      </c>
      <c r="F21">
        <f t="shared" si="5"/>
        <v>0.9975026027203594</v>
      </c>
      <c r="G21">
        <f t="shared" si="6"/>
        <v>0.98752757669315583</v>
      </c>
      <c r="H21">
        <v>60</v>
      </c>
      <c r="I21">
        <f t="shared" si="7"/>
        <v>0.34649944515782954</v>
      </c>
      <c r="J21">
        <v>0</v>
      </c>
      <c r="K21">
        <v>0</v>
      </c>
      <c r="L21">
        <f t="shared" si="8"/>
        <v>4.9376378834657793</v>
      </c>
      <c r="M21">
        <f t="shared" si="1"/>
        <v>35.465852458322331</v>
      </c>
      <c r="N21">
        <f t="shared" si="9"/>
        <v>0.68058319703375303</v>
      </c>
      <c r="O21">
        <f t="shared" si="2"/>
        <v>24.137463251612402</v>
      </c>
    </row>
    <row r="22" spans="2:15" x14ac:dyDescent="0.25">
      <c r="B22">
        <v>6</v>
      </c>
      <c r="C22">
        <f t="shared" si="3"/>
        <v>0.9975026027203594</v>
      </c>
      <c r="D22">
        <f t="shared" si="4"/>
        <v>4.1562608446681646E-4</v>
      </c>
      <c r="E22">
        <f t="shared" si="0"/>
        <v>0.01</v>
      </c>
      <c r="F22">
        <f t="shared" si="5"/>
        <v>0.99708697663589263</v>
      </c>
      <c r="G22">
        <f t="shared" si="6"/>
        <v>0.98711610686953366</v>
      </c>
      <c r="H22">
        <v>60</v>
      </c>
      <c r="I22">
        <f t="shared" si="7"/>
        <v>0.34635507038901375</v>
      </c>
      <c r="J22">
        <v>0</v>
      </c>
      <c r="K22">
        <v>0</v>
      </c>
      <c r="L22">
        <f t="shared" si="8"/>
        <v>4.9355805343476682</v>
      </c>
      <c r="M22">
        <f t="shared" si="1"/>
        <v>32.433814973536187</v>
      </c>
      <c r="N22">
        <f t="shared" si="9"/>
        <v>0.63016962688310452</v>
      </c>
      <c r="O22">
        <f t="shared" si="2"/>
        <v>20.438805080268946</v>
      </c>
    </row>
    <row r="23" spans="2:15" x14ac:dyDescent="0.25">
      <c r="B23">
        <v>7</v>
      </c>
      <c r="C23">
        <f t="shared" si="3"/>
        <v>0.99708697663589263</v>
      </c>
      <c r="D23">
        <f t="shared" si="4"/>
        <v>4.1545290693162194E-4</v>
      </c>
      <c r="E23">
        <f t="shared" si="0"/>
        <v>0.01</v>
      </c>
      <c r="F23">
        <f t="shared" si="5"/>
        <v>0.99667152372896106</v>
      </c>
      <c r="G23">
        <f t="shared" si="6"/>
        <v>0.98670480849167141</v>
      </c>
      <c r="H23">
        <v>60</v>
      </c>
      <c r="I23">
        <f t="shared" si="7"/>
        <v>0.34621075577635163</v>
      </c>
      <c r="J23">
        <v>0</v>
      </c>
      <c r="K23">
        <v>0</v>
      </c>
      <c r="L23">
        <f t="shared" si="8"/>
        <v>4.9335240424583571</v>
      </c>
      <c r="M23">
        <f t="shared" si="1"/>
        <v>29.627705648245467</v>
      </c>
      <c r="N23">
        <f t="shared" si="9"/>
        <v>0.58349039526213387</v>
      </c>
      <c r="O23">
        <f>M23*N23</f>
        <v>17.287481679404902</v>
      </c>
    </row>
    <row r="24" spans="2:15" x14ac:dyDescent="0.25">
      <c r="B24">
        <v>8</v>
      </c>
      <c r="C24">
        <f t="shared" si="3"/>
        <v>0.99667152372896106</v>
      </c>
      <c r="D24">
        <f t="shared" si="4"/>
        <v>4.1527980155373382E-4</v>
      </c>
      <c r="E24">
        <f t="shared" si="0"/>
        <v>0.01</v>
      </c>
      <c r="F24">
        <f t="shared" si="5"/>
        <v>0.9962562439274073</v>
      </c>
      <c r="G24">
        <f t="shared" si="6"/>
        <v>0.98629368148813323</v>
      </c>
      <c r="H24">
        <v>60</v>
      </c>
      <c r="I24">
        <f t="shared" si="7"/>
        <v>0.34606650129477817</v>
      </c>
      <c r="J24">
        <v>0</v>
      </c>
      <c r="K24">
        <v>0</v>
      </c>
      <c r="L24">
        <f t="shared" si="8"/>
        <v>4.9314684074406658</v>
      </c>
      <c r="M24">
        <f t="shared" si="1"/>
        <v>27.030701831660377</v>
      </c>
      <c r="N24">
        <f t="shared" si="9"/>
        <v>0.54026888450197574</v>
      </c>
      <c r="O24">
        <f t="shared" si="2"/>
        <v>14.603847125896664</v>
      </c>
    </row>
    <row r="25" spans="2:15" x14ac:dyDescent="0.25">
      <c r="B25">
        <v>9</v>
      </c>
      <c r="C25">
        <f t="shared" si="3"/>
        <v>0.9962562439274073</v>
      </c>
      <c r="D25">
        <f t="shared" si="4"/>
        <v>4.151067683030864E-4</v>
      </c>
      <c r="E25">
        <f t="shared" si="0"/>
        <v>0.01</v>
      </c>
      <c r="F25">
        <f t="shared" si="5"/>
        <v>0.99584113715910416</v>
      </c>
      <c r="G25">
        <f t="shared" si="6"/>
        <v>0.98588272578751313</v>
      </c>
      <c r="H25">
        <v>60</v>
      </c>
      <c r="I25">
        <f t="shared" si="7"/>
        <v>0.3459223069192387</v>
      </c>
      <c r="J25">
        <v>0</v>
      </c>
      <c r="K25">
        <v>0</v>
      </c>
      <c r="L25">
        <f t="shared" si="8"/>
        <v>4.9294136289375654</v>
      </c>
      <c r="M25">
        <f t="shared" si="1"/>
        <v>24.627233485520343</v>
      </c>
      <c r="N25">
        <f t="shared" si="9"/>
        <v>0.50024896713145905</v>
      </c>
      <c r="O25">
        <f t="shared" si="2"/>
        <v>12.319748114436834</v>
      </c>
    </row>
    <row r="26" spans="2:15" x14ac:dyDescent="0.25">
      <c r="B26">
        <v>10</v>
      </c>
      <c r="C26">
        <f t="shared" si="3"/>
        <v>0.99584113715910416</v>
      </c>
      <c r="D26">
        <f t="shared" si="4"/>
        <v>4.1493380714962674E-4</v>
      </c>
      <c r="E26">
        <f t="shared" si="0"/>
        <v>0.01</v>
      </c>
      <c r="F26">
        <f t="shared" si="5"/>
        <v>0.99542620335195453</v>
      </c>
      <c r="G26">
        <f t="shared" si="6"/>
        <v>0.98547194131843496</v>
      </c>
      <c r="H26">
        <v>60</v>
      </c>
      <c r="I26">
        <f t="shared" si="7"/>
        <v>0.34577817262468896</v>
      </c>
      <c r="J26">
        <v>0</v>
      </c>
      <c r="K26">
        <v>0</v>
      </c>
      <c r="L26">
        <f t="shared" si="8"/>
        <v>4.927359706592175</v>
      </c>
      <c r="M26">
        <f t="shared" si="1"/>
        <v>22.402889914719772</v>
      </c>
      <c r="N26">
        <f t="shared" si="9"/>
        <v>0.46319348808468425</v>
      </c>
      <c r="O26">
        <f t="shared" si="2"/>
        <v>10.376872722776245</v>
      </c>
    </row>
    <row r="27" spans="2:15" x14ac:dyDescent="0.25">
      <c r="B27">
        <v>11</v>
      </c>
      <c r="C27">
        <f t="shared" si="3"/>
        <v>0.99542620335195453</v>
      </c>
      <c r="D27">
        <f t="shared" si="4"/>
        <v>4.1476091806331441E-4</v>
      </c>
      <c r="E27">
        <f t="shared" si="0"/>
        <v>0.01</v>
      </c>
      <c r="F27">
        <f t="shared" si="5"/>
        <v>0.99501144243389117</v>
      </c>
      <c r="G27">
        <f t="shared" si="6"/>
        <v>0.98506132800955226</v>
      </c>
      <c r="H27">
        <v>60</v>
      </c>
      <c r="I27">
        <f t="shared" si="7"/>
        <v>0.34563409838609538</v>
      </c>
      <c r="J27">
        <v>0</v>
      </c>
      <c r="K27">
        <v>0</v>
      </c>
      <c r="L27">
        <f t="shared" si="8"/>
        <v>4.9253066400477614</v>
      </c>
      <c r="M27">
        <f t="shared" si="1"/>
        <v>20.344333442759812</v>
      </c>
      <c r="N27">
        <f t="shared" si="9"/>
        <v>0.42888285933767062</v>
      </c>
      <c r="O27">
        <f t="shared" si="2"/>
        <v>8.7253358982498241</v>
      </c>
    </row>
    <row r="28" spans="2:15" x14ac:dyDescent="0.25">
      <c r="B28">
        <v>12</v>
      </c>
      <c r="C28">
        <f t="shared" si="3"/>
        <v>0.99501144243389117</v>
      </c>
      <c r="D28">
        <f t="shared" si="4"/>
        <v>4.1458810101412135E-4</v>
      </c>
      <c r="E28">
        <f t="shared" si="0"/>
        <v>0.01</v>
      </c>
      <c r="F28">
        <f t="shared" si="5"/>
        <v>0.99459685433287703</v>
      </c>
      <c r="G28">
        <f t="shared" si="6"/>
        <v>0.98465088578954829</v>
      </c>
      <c r="H28">
        <v>0</v>
      </c>
      <c r="I28">
        <f t="shared" si="7"/>
        <v>0.34549008417843446</v>
      </c>
      <c r="J28">
        <v>0</v>
      </c>
      <c r="K28">
        <v>0</v>
      </c>
      <c r="L28">
        <f t="shared" si="8"/>
        <v>4.9232544289477413</v>
      </c>
      <c r="M28">
        <f t="shared" si="1"/>
        <v>-5.2687445131261761</v>
      </c>
      <c r="N28">
        <f t="shared" si="9"/>
        <v>0.39711375864599124</v>
      </c>
      <c r="O28">
        <f t="shared" si="2"/>
        <v>-2.092290936952979</v>
      </c>
    </row>
    <row r="31" spans="2:15" x14ac:dyDescent="0.25">
      <c r="N31" s="7" t="s">
        <v>21</v>
      </c>
      <c r="O31" s="13">
        <f>SUM(O16:O28)</f>
        <v>155.88560004364732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E0FE-D1E1-4DE6-8CCF-03611407053E}">
  <dimension ref="A1:O31"/>
  <sheetViews>
    <sheetView topLeftCell="H15" workbookViewId="0">
      <selection activeCell="E9" sqref="E9"/>
    </sheetView>
  </sheetViews>
  <sheetFormatPr defaultRowHeight="15" x14ac:dyDescent="0.25"/>
  <cols>
    <col min="1" max="1" width="44" customWidth="1"/>
    <col min="3" max="3" width="15.42578125" customWidth="1"/>
    <col min="4" max="4" width="17" customWidth="1"/>
    <col min="5" max="5" width="11" customWidth="1"/>
    <col min="6" max="6" width="14.42578125" customWidth="1"/>
    <col min="7" max="7" width="21" customWidth="1"/>
    <col min="8" max="8" width="17.42578125" customWidth="1"/>
    <col min="9" max="9" width="21.42578125" customWidth="1"/>
    <col min="10" max="10" width="18" customWidth="1"/>
    <col min="11" max="11" width="17.85546875" customWidth="1"/>
    <col min="12" max="12" width="20" customWidth="1"/>
    <col min="13" max="13" width="18.42578125" customWidth="1"/>
    <col min="14" max="14" width="14.7109375" customWidth="1"/>
    <col min="15" max="15" width="27.140625" customWidth="1"/>
  </cols>
  <sheetData>
    <row r="1" spans="1:15" ht="24" x14ac:dyDescent="0.4">
      <c r="A1" s="11" t="s">
        <v>26</v>
      </c>
    </row>
    <row r="2" spans="1:15" x14ac:dyDescent="0.25">
      <c r="B2" s="1"/>
    </row>
    <row r="3" spans="1:15" ht="18.75" x14ac:dyDescent="0.3">
      <c r="A3" s="2" t="s">
        <v>1</v>
      </c>
    </row>
    <row r="4" spans="1:15" x14ac:dyDescent="0.25">
      <c r="A4" t="s">
        <v>2</v>
      </c>
      <c r="B4" s="3">
        <v>12</v>
      </c>
    </row>
    <row r="5" spans="1:15" x14ac:dyDescent="0.25">
      <c r="A5" t="s">
        <v>3</v>
      </c>
      <c r="B5" s="3">
        <v>10000</v>
      </c>
    </row>
    <row r="6" spans="1:15" x14ac:dyDescent="0.25">
      <c r="A6" t="s">
        <v>4</v>
      </c>
      <c r="B6" s="3">
        <v>6.0000000000000001E-3</v>
      </c>
    </row>
    <row r="7" spans="1:15" x14ac:dyDescent="0.25">
      <c r="A7" t="s">
        <v>5</v>
      </c>
      <c r="B7" s="3">
        <v>0.01</v>
      </c>
    </row>
    <row r="8" spans="1:15" x14ac:dyDescent="0.25">
      <c r="A8" t="s">
        <v>6</v>
      </c>
      <c r="B8" s="3">
        <v>0.15</v>
      </c>
    </row>
    <row r="9" spans="1:15" x14ac:dyDescent="0.25">
      <c r="A9" t="s">
        <v>7</v>
      </c>
      <c r="B9" s="3">
        <v>50</v>
      </c>
    </row>
    <row r="10" spans="1:15" x14ac:dyDescent="0.25">
      <c r="A10" t="s">
        <v>8</v>
      </c>
      <c r="B10" s="3">
        <v>5</v>
      </c>
    </row>
    <row r="11" spans="1:15" x14ac:dyDescent="0.25">
      <c r="A11" t="s">
        <v>20</v>
      </c>
      <c r="B11" s="4">
        <v>0.08</v>
      </c>
    </row>
    <row r="14" spans="1:15" ht="18.75" x14ac:dyDescent="0.3">
      <c r="A14" s="12" t="s">
        <v>28</v>
      </c>
    </row>
    <row r="15" spans="1:15" x14ac:dyDescent="0.25">
      <c r="B15" s="1" t="s">
        <v>0</v>
      </c>
      <c r="C15" s="1" t="s">
        <v>11</v>
      </c>
      <c r="D15" s="1" t="s">
        <v>9</v>
      </c>
      <c r="E15" s="1" t="s">
        <v>10</v>
      </c>
      <c r="F15" s="1" t="s">
        <v>12</v>
      </c>
      <c r="G15" s="1" t="s">
        <v>13</v>
      </c>
      <c r="H15" s="1" t="s">
        <v>23</v>
      </c>
      <c r="I15" s="1" t="s">
        <v>14</v>
      </c>
      <c r="J15" s="1" t="s">
        <v>15</v>
      </c>
      <c r="K15" s="1" t="s">
        <v>16</v>
      </c>
      <c r="L15" s="1" t="s">
        <v>17</v>
      </c>
      <c r="M15" s="1" t="s">
        <v>18</v>
      </c>
      <c r="N15" s="1" t="s">
        <v>19</v>
      </c>
      <c r="O15" s="1" t="s">
        <v>22</v>
      </c>
    </row>
    <row r="16" spans="1:15" x14ac:dyDescent="0.25">
      <c r="B16">
        <v>0</v>
      </c>
      <c r="C16">
        <v>1</v>
      </c>
      <c r="D16">
        <f>C16*($B$6/12)</f>
        <v>5.0000000000000001E-4</v>
      </c>
      <c r="E16">
        <f>$B$7</f>
        <v>0.01</v>
      </c>
      <c r="F16">
        <f>C16-D16</f>
        <v>0.99950000000000006</v>
      </c>
      <c r="G16">
        <f>(1-E16)*F16</f>
        <v>0.98950500000000008</v>
      </c>
      <c r="H16">
        <v>60</v>
      </c>
      <c r="I16">
        <v>0</v>
      </c>
      <c r="J16">
        <f>SUM(H16:H28)*B8</f>
        <v>108</v>
      </c>
      <c r="K16">
        <v>50</v>
      </c>
      <c r="L16">
        <v>0</v>
      </c>
      <c r="M16">
        <f>H16*N16*C16-I16-J16-K16-L16</f>
        <v>-98</v>
      </c>
      <c r="N16">
        <v>1</v>
      </c>
      <c r="O16">
        <f>M16*N16</f>
        <v>-98</v>
      </c>
    </row>
    <row r="17" spans="2:15" x14ac:dyDescent="0.25">
      <c r="B17">
        <v>1</v>
      </c>
      <c r="C17">
        <f>F16</f>
        <v>0.99950000000000006</v>
      </c>
      <c r="D17">
        <f>C17*($B$6/12)</f>
        <v>4.9975000000000009E-4</v>
      </c>
      <c r="E17">
        <f t="shared" ref="E17:E28" si="0">$B$7</f>
        <v>0.01</v>
      </c>
      <c r="F17">
        <f>(C17-D17)</f>
        <v>0.99900025000000003</v>
      </c>
      <c r="G17">
        <f>(1-E17)*F17</f>
        <v>0.98901024749999999</v>
      </c>
      <c r="H17">
        <v>60</v>
      </c>
      <c r="I17">
        <f>($B$5/12)*D17</f>
        <v>0.41645833333333343</v>
      </c>
      <c r="J17">
        <v>0</v>
      </c>
      <c r="K17">
        <v>0</v>
      </c>
      <c r="L17">
        <f>$B$10*G17</f>
        <v>4.9450512374999995</v>
      </c>
      <c r="M17">
        <f t="shared" ref="M17:M28" si="1">H17*N17*C17-I17-J17-K17-L17</f>
        <v>50.166268206944451</v>
      </c>
      <c r="N17">
        <f>(1+$B$11)^-B17</f>
        <v>0.92592592592592582</v>
      </c>
      <c r="O17">
        <f t="shared" ref="O17:O28" si="2">M17*N17</f>
        <v>46.450248339763377</v>
      </c>
    </row>
    <row r="18" spans="2:15" x14ac:dyDescent="0.25">
      <c r="B18">
        <v>2</v>
      </c>
      <c r="C18">
        <f t="shared" ref="C18:C28" si="3">F17</f>
        <v>0.99900025000000003</v>
      </c>
      <c r="D18">
        <f t="shared" ref="D18:D28" si="4">C18*($B$6/12)</f>
        <v>4.9950012499999999E-4</v>
      </c>
      <c r="E18">
        <f t="shared" si="0"/>
        <v>0.01</v>
      </c>
      <c r="F18">
        <f t="shared" ref="F18:F28" si="5">(C18-D18)</f>
        <v>0.99850074987500004</v>
      </c>
      <c r="G18">
        <f t="shared" ref="G18:G28" si="6">(1-E18)*F18</f>
        <v>0.98851574237625006</v>
      </c>
      <c r="H18">
        <v>60</v>
      </c>
      <c r="I18">
        <f t="shared" ref="I18:I28" si="7">($B$5/12)*D18</f>
        <v>0.41625010416666669</v>
      </c>
      <c r="J18">
        <v>0</v>
      </c>
      <c r="K18">
        <v>0</v>
      </c>
      <c r="L18">
        <f t="shared" ref="L18:L28" si="8">$B$10*G18</f>
        <v>4.9425787118812501</v>
      </c>
      <c r="M18">
        <f t="shared" si="1"/>
        <v>46.030072932923275</v>
      </c>
      <c r="N18">
        <f t="shared" ref="N18:N28" si="9">(1+$B$11)^-B18</f>
        <v>0.85733882030178321</v>
      </c>
      <c r="O18">
        <f t="shared" si="2"/>
        <v>39.46336842671748</v>
      </c>
    </row>
    <row r="19" spans="2:15" x14ac:dyDescent="0.25">
      <c r="B19">
        <v>3</v>
      </c>
      <c r="C19">
        <f t="shared" si="3"/>
        <v>0.99850074987500004</v>
      </c>
      <c r="D19">
        <f t="shared" si="4"/>
        <v>4.9925037493750001E-4</v>
      </c>
      <c r="E19">
        <f t="shared" si="0"/>
        <v>0.01</v>
      </c>
      <c r="F19">
        <f t="shared" si="5"/>
        <v>0.99800149950006256</v>
      </c>
      <c r="G19">
        <f t="shared" si="6"/>
        <v>0.98802148450506189</v>
      </c>
      <c r="H19">
        <v>60</v>
      </c>
      <c r="I19">
        <f t="shared" si="7"/>
        <v>0.41604197911458335</v>
      </c>
      <c r="J19">
        <v>0</v>
      </c>
      <c r="K19">
        <v>0</v>
      </c>
      <c r="L19">
        <f t="shared" si="8"/>
        <v>4.9401074225253092</v>
      </c>
      <c r="M19">
        <f t="shared" si="1"/>
        <v>42.202375874375576</v>
      </c>
      <c r="N19">
        <f t="shared" si="9"/>
        <v>0.79383224102016958</v>
      </c>
      <c r="O19">
        <f t="shared" si="2"/>
        <v>33.501606616731102</v>
      </c>
    </row>
    <row r="20" spans="2:15" x14ac:dyDescent="0.25">
      <c r="B20">
        <v>4</v>
      </c>
      <c r="C20">
        <f t="shared" si="3"/>
        <v>0.99800149950006256</v>
      </c>
      <c r="D20">
        <f t="shared" si="4"/>
        <v>4.9900074975003125E-4</v>
      </c>
      <c r="E20">
        <f t="shared" si="0"/>
        <v>0.01</v>
      </c>
      <c r="F20">
        <f t="shared" si="5"/>
        <v>0.99750249875031249</v>
      </c>
      <c r="G20">
        <f t="shared" si="6"/>
        <v>0.98752747376280936</v>
      </c>
      <c r="H20">
        <v>60</v>
      </c>
      <c r="I20">
        <f t="shared" si="7"/>
        <v>0.41583395812502605</v>
      </c>
      <c r="J20">
        <v>0</v>
      </c>
      <c r="K20">
        <v>0</v>
      </c>
      <c r="L20">
        <f t="shared" si="8"/>
        <v>4.9376373688140465</v>
      </c>
      <c r="M20">
        <f t="shared" si="1"/>
        <v>38.660182389151167</v>
      </c>
      <c r="N20">
        <f t="shared" si="9"/>
        <v>0.73502985279645328</v>
      </c>
      <c r="O20">
        <f t="shared" si="2"/>
        <v>28.416388170581818</v>
      </c>
    </row>
    <row r="21" spans="2:15" x14ac:dyDescent="0.25">
      <c r="B21">
        <v>5</v>
      </c>
      <c r="C21">
        <f t="shared" si="3"/>
        <v>0.99750249875031249</v>
      </c>
      <c r="D21">
        <f t="shared" si="4"/>
        <v>4.9875124937515624E-4</v>
      </c>
      <c r="E21">
        <f t="shared" si="0"/>
        <v>0.01</v>
      </c>
      <c r="F21">
        <f t="shared" si="5"/>
        <v>0.99700374750093734</v>
      </c>
      <c r="G21">
        <f t="shared" si="6"/>
        <v>0.98703371002592799</v>
      </c>
      <c r="H21">
        <v>60</v>
      </c>
      <c r="I21">
        <f t="shared" si="7"/>
        <v>0.41562604114596358</v>
      </c>
      <c r="J21">
        <v>0</v>
      </c>
      <c r="K21">
        <v>0</v>
      </c>
      <c r="L21">
        <f t="shared" si="8"/>
        <v>4.9351685501296396</v>
      </c>
      <c r="M21">
        <f t="shared" si="1"/>
        <v>35.382211787643094</v>
      </c>
      <c r="N21">
        <f t="shared" si="9"/>
        <v>0.68058319703375303</v>
      </c>
      <c r="O21">
        <f t="shared" si="2"/>
        <v>24.080538816559478</v>
      </c>
    </row>
    <row r="22" spans="2:15" x14ac:dyDescent="0.25">
      <c r="B22">
        <v>6</v>
      </c>
      <c r="C22">
        <f t="shared" si="3"/>
        <v>0.99700374750093734</v>
      </c>
      <c r="D22">
        <f t="shared" si="4"/>
        <v>4.9850187375046872E-4</v>
      </c>
      <c r="E22">
        <f t="shared" si="0"/>
        <v>0.01</v>
      </c>
      <c r="F22">
        <f t="shared" si="5"/>
        <v>0.9965052456271869</v>
      </c>
      <c r="G22">
        <f t="shared" si="6"/>
        <v>0.98654019317091501</v>
      </c>
      <c r="H22">
        <v>60</v>
      </c>
      <c r="I22">
        <f t="shared" si="7"/>
        <v>0.41541822812539064</v>
      </c>
      <c r="J22">
        <v>0</v>
      </c>
      <c r="K22">
        <v>0</v>
      </c>
      <c r="L22">
        <f t="shared" si="8"/>
        <v>4.9327009658545755</v>
      </c>
      <c r="M22">
        <f t="shared" si="1"/>
        <v>32.348769579843392</v>
      </c>
      <c r="N22">
        <f t="shared" si="9"/>
        <v>0.63016962688310452</v>
      </c>
      <c r="O22">
        <f t="shared" si="2"/>
        <v>20.385212056257433</v>
      </c>
    </row>
    <row r="23" spans="2:15" x14ac:dyDescent="0.25">
      <c r="B23">
        <v>7</v>
      </c>
      <c r="C23">
        <f t="shared" si="3"/>
        <v>0.9965052456271869</v>
      </c>
      <c r="D23">
        <f t="shared" si="4"/>
        <v>4.9825262281359348E-4</v>
      </c>
      <c r="E23">
        <f t="shared" si="0"/>
        <v>0.01</v>
      </c>
      <c r="F23">
        <f t="shared" si="5"/>
        <v>0.99600699300437334</v>
      </c>
      <c r="G23">
        <f t="shared" si="6"/>
        <v>0.98604692307432962</v>
      </c>
      <c r="H23">
        <v>60</v>
      </c>
      <c r="I23">
        <f t="shared" si="7"/>
        <v>0.41521051901132794</v>
      </c>
      <c r="J23">
        <v>0</v>
      </c>
      <c r="K23">
        <v>0</v>
      </c>
      <c r="L23">
        <f t="shared" si="8"/>
        <v>4.9302346153716483</v>
      </c>
      <c r="M23">
        <f t="shared" si="1"/>
        <v>29.541629244724849</v>
      </c>
      <c r="N23">
        <f t="shared" si="9"/>
        <v>0.58349039526213387</v>
      </c>
      <c r="O23">
        <f>M23*N23</f>
        <v>17.237256924691916</v>
      </c>
    </row>
    <row r="24" spans="2:15" x14ac:dyDescent="0.25">
      <c r="B24">
        <v>8</v>
      </c>
      <c r="C24">
        <f t="shared" si="3"/>
        <v>0.99600699300437334</v>
      </c>
      <c r="D24">
        <f t="shared" si="4"/>
        <v>4.980034965021867E-4</v>
      </c>
      <c r="E24">
        <f t="shared" si="0"/>
        <v>0.01</v>
      </c>
      <c r="F24">
        <f t="shared" si="5"/>
        <v>0.99550898950787114</v>
      </c>
      <c r="G24">
        <f t="shared" si="6"/>
        <v>0.98555389961279238</v>
      </c>
      <c r="H24">
        <v>60</v>
      </c>
      <c r="I24">
        <f t="shared" si="7"/>
        <v>0.4150029137518223</v>
      </c>
      <c r="J24">
        <v>0</v>
      </c>
      <c r="K24">
        <v>0</v>
      </c>
      <c r="L24">
        <f t="shared" si="8"/>
        <v>4.9277694980639621</v>
      </c>
      <c r="M24">
        <f t="shared" si="1"/>
        <v>26.943922812182613</v>
      </c>
      <c r="N24">
        <f t="shared" si="9"/>
        <v>0.54026888450197574</v>
      </c>
      <c r="O24">
        <f t="shared" si="2"/>
        <v>14.556963121845238</v>
      </c>
    </row>
    <row r="25" spans="2:15" x14ac:dyDescent="0.25">
      <c r="B25">
        <v>9</v>
      </c>
      <c r="C25">
        <f t="shared" si="3"/>
        <v>0.99550898950787114</v>
      </c>
      <c r="D25">
        <f t="shared" si="4"/>
        <v>4.9775449475393562E-4</v>
      </c>
      <c r="E25">
        <f t="shared" si="0"/>
        <v>0.01</v>
      </c>
      <c r="F25">
        <f t="shared" si="5"/>
        <v>0.99501123501311717</v>
      </c>
      <c r="G25">
        <f t="shared" si="6"/>
        <v>0.98506112266298596</v>
      </c>
      <c r="H25">
        <v>60</v>
      </c>
      <c r="I25">
        <f t="shared" si="7"/>
        <v>0.41479541229494638</v>
      </c>
      <c r="J25">
        <v>0</v>
      </c>
      <c r="K25">
        <v>0</v>
      </c>
      <c r="L25">
        <f t="shared" si="8"/>
        <v>4.9253056133149293</v>
      </c>
      <c r="M25">
        <f t="shared" si="1"/>
        <v>24.540039600673826</v>
      </c>
      <c r="N25">
        <f t="shared" si="9"/>
        <v>0.50024896713145905</v>
      </c>
      <c r="O25">
        <f t="shared" si="2"/>
        <v>12.276129463602183</v>
      </c>
    </row>
    <row r="26" spans="2:15" x14ac:dyDescent="0.25">
      <c r="B26">
        <v>10</v>
      </c>
      <c r="C26">
        <f t="shared" si="3"/>
        <v>0.99501123501311717</v>
      </c>
      <c r="D26">
        <f t="shared" si="4"/>
        <v>4.9750561750655856E-4</v>
      </c>
      <c r="E26">
        <f t="shared" si="0"/>
        <v>0.01</v>
      </c>
      <c r="F26">
        <f t="shared" si="5"/>
        <v>0.99451372939561056</v>
      </c>
      <c r="G26">
        <f t="shared" si="6"/>
        <v>0.98456859210165448</v>
      </c>
      <c r="H26">
        <v>60</v>
      </c>
      <c r="I26">
        <f t="shared" si="7"/>
        <v>0.41458801458879879</v>
      </c>
      <c r="J26">
        <v>0</v>
      </c>
      <c r="K26">
        <v>0</v>
      </c>
      <c r="L26">
        <f t="shared" si="8"/>
        <v>4.9228429605082722</v>
      </c>
      <c r="M26">
        <f t="shared" si="1"/>
        <v>22.315532502653443</v>
      </c>
      <c r="N26">
        <f t="shared" si="9"/>
        <v>0.46319348808468425</v>
      </c>
      <c r="O26">
        <f t="shared" si="2"/>
        <v>10.336409338371192</v>
      </c>
    </row>
    <row r="27" spans="2:15" x14ac:dyDescent="0.25">
      <c r="B27">
        <v>11</v>
      </c>
      <c r="C27">
        <f t="shared" si="3"/>
        <v>0.99451372939561056</v>
      </c>
      <c r="D27">
        <f t="shared" si="4"/>
        <v>4.9725686469780529E-4</v>
      </c>
      <c r="E27">
        <f t="shared" si="0"/>
        <v>0.01</v>
      </c>
      <c r="F27">
        <f t="shared" si="5"/>
        <v>0.99401647253091274</v>
      </c>
      <c r="G27">
        <f t="shared" si="6"/>
        <v>0.98407630780560362</v>
      </c>
      <c r="H27">
        <v>60</v>
      </c>
      <c r="I27">
        <f t="shared" si="7"/>
        <v>0.41438072058150444</v>
      </c>
      <c r="J27">
        <v>0</v>
      </c>
      <c r="K27">
        <v>0</v>
      </c>
      <c r="L27">
        <f t="shared" si="8"/>
        <v>4.9203815390280177</v>
      </c>
      <c r="M27">
        <f t="shared" si="1"/>
        <v>20.257031255216067</v>
      </c>
      <c r="N27">
        <f t="shared" si="9"/>
        <v>0.42888285933767062</v>
      </c>
      <c r="O27">
        <f t="shared" si="2"/>
        <v>8.6878934864296298</v>
      </c>
    </row>
    <row r="28" spans="2:15" x14ac:dyDescent="0.25">
      <c r="B28">
        <v>12</v>
      </c>
      <c r="C28">
        <f t="shared" si="3"/>
        <v>0.99401647253091274</v>
      </c>
      <c r="D28">
        <f t="shared" si="4"/>
        <v>4.9700823626545637E-4</v>
      </c>
      <c r="E28">
        <f t="shared" si="0"/>
        <v>0.01</v>
      </c>
      <c r="F28">
        <f t="shared" si="5"/>
        <v>0.99351946429464733</v>
      </c>
      <c r="G28">
        <f t="shared" si="6"/>
        <v>0.98358426965170087</v>
      </c>
      <c r="H28">
        <v>0</v>
      </c>
      <c r="I28">
        <f t="shared" si="7"/>
        <v>0.41417353022121367</v>
      </c>
      <c r="J28">
        <v>0</v>
      </c>
      <c r="K28">
        <v>0</v>
      </c>
      <c r="L28">
        <f t="shared" si="8"/>
        <v>4.9179213482585045</v>
      </c>
      <c r="M28">
        <f t="shared" si="1"/>
        <v>-5.332094878479718</v>
      </c>
      <c r="N28">
        <f t="shared" si="9"/>
        <v>0.39711375864599124</v>
      </c>
      <c r="O28">
        <f t="shared" si="2"/>
        <v>-2.1174482386501206</v>
      </c>
    </row>
    <row r="31" spans="2:15" x14ac:dyDescent="0.25">
      <c r="N31" s="7" t="s">
        <v>21</v>
      </c>
      <c r="O31" s="14">
        <f>SUM(O16:O28)</f>
        <v>155.27456652290073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Premium Calculation</vt:lpstr>
      <vt:lpstr>Profitability Analysis</vt:lpstr>
      <vt:lpstr>Sensitivity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Kadere</dc:creator>
  <cp:lastModifiedBy>redeemtkadere@gmail.com</cp:lastModifiedBy>
  <dcterms:created xsi:type="dcterms:W3CDTF">2025-10-05T14:54:51Z</dcterms:created>
  <dcterms:modified xsi:type="dcterms:W3CDTF">2026-04-28T20:39:16Z</dcterms:modified>
</cp:coreProperties>
</file>